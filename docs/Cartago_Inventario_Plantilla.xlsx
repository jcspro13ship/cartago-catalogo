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Variantes" sheetId="3" state="visible" r:id="rId3"/>
    <sheet xmlns:r="http://schemas.openxmlformats.org/officeDocument/2006/relationships" name="Imagenes" sheetId="4" state="visible" r:id="rId4"/>
    <sheet xmlns:r="http://schemas.openxmlformats.org/officeDocument/2006/relationships" name="Marcas" sheetId="5" state="visible" r:id="rId5"/>
    <sheet xmlns:r="http://schemas.openxmlformats.org/officeDocument/2006/relationships" name="Configuracion" sheetId="6" state="visible" r:id="rId6"/>
    <sheet xmlns:r="http://schemas.openxmlformats.org/officeDocument/2006/relationships" name="Lis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771541"/>
      <sz val="16"/>
    </font>
    <font>
      <name val="Arial"/>
      <color rgb="006E5F66"/>
      <sz val="11"/>
    </font>
    <font>
      <name val="Arial"/>
      <sz val="10"/>
    </font>
    <font>
      <name val="Arial"/>
      <b val="1"/>
      <color rgb="00771541"/>
      <sz val="12"/>
    </font>
    <font>
      <name val="Arial"/>
      <b val="1"/>
      <color rgb="00B42318"/>
      <sz val="10"/>
    </font>
    <font>
      <name val="Arial"/>
      <b val="1"/>
      <color rgb="00FFFFFF"/>
      <sz val="10"/>
    </font>
    <font>
      <name val="Arial"/>
      <i val="1"/>
      <color rgb="006E5F66"/>
      <sz val="10"/>
    </font>
  </fonts>
  <fills count="5">
    <fill>
      <patternFill/>
    </fill>
    <fill>
      <patternFill patternType="gray125"/>
    </fill>
    <fill>
      <patternFill patternType="solid">
        <fgColor rgb="00771541"/>
      </patternFill>
    </fill>
    <fill>
      <patternFill patternType="solid">
        <fgColor rgb="00F4E9ED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3" fontId="3" fillId="3" borderId="0" applyAlignment="1" pivotButton="0" quotePrefix="0" xfId="0">
      <alignment vertical="top"/>
    </xf>
    <xf numFmtId="0" fontId="7" fillId="0" borderId="0" pivotButton="0" quotePrefix="0" xfId="0"/>
    <xf numFmtId="0" fontId="3" fillId="0" borderId="0" pivotButton="0" quotePrefix="0" xfId="0"/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JCS Emprende</author>
  </authors>
  <commentList>
    <comment ref="A1" authorId="0" shapeId="0">
      <text>
        <t>Código corto y único: letra + número (m1, e1, j1). No se repite ni se cambia.</t>
      </text>
    </comment>
    <comment ref="C1" authorId="0" shapeId="0">
      <text>
        <t>Elige de la lista (pestaña Listas).</t>
      </text>
    </comment>
    <comment ref="D1" authorId="0" shapeId="0">
      <text>
        <t>Elige de la lista. Debe corresponder a la categoría (ver pestaña Listas).</t>
      </text>
    </comment>
    <comment ref="E1" authorId="0" shapeId="0">
      <text>
        <t>Elige de la lista (pestaña Marcas). Cada producto muestra el logo de su marca.</t>
      </text>
    </comment>
    <comment ref="G1" authorId="0" shapeId="0">
      <text>
        <t>Pesos colombianos, sin puntos ni signo. 0 o vacío = Precio a consultar.</t>
      </text>
    </comment>
    <comment ref="H1" authorId="0" shapeId="0">
      <text>
        <t>Opcional. Precio fijo en dólares. Vacío = se convierte con la tasa de Configuracion.</t>
      </text>
    </comment>
    <comment ref="I1" authorId="0" shapeId="0">
      <text>
        <t>SI = se ve en la página. NO = escondido.</t>
      </text>
    </comment>
    <comment ref="J1" authorId="0" shapeId="0">
      <text>
        <t>SI = aparece en Productos destacados de la página de inicio.</t>
      </text>
    </comment>
    <comment ref="K1" authorId="0" shapeId="0">
      <text>
        <t>SI = el cliente puede escribir el bordado o el detalle que quiere.</t>
      </text>
    </comment>
    <comment ref="L1" authorId="0" shapeId="0">
      <text>
        <t>Texto de ayuda que ve el cliente en el campo de personalización.</t>
      </text>
    </comment>
    <comment ref="M1" authorId="0" shapeId="0">
      <text>
        <t>Opcional. Texto resaltado en la ficha del producto.</t>
      </text>
    </comment>
    <comment ref="N1" authorId="0" shapeId="0">
      <text>
        <t>Se calcula solo: suma del stock de todos los colores en Variantes.</t>
      </text>
    </comment>
    <comment ref="O1" authorId="0" shapeId="0">
      <text>
        <t>Se calcula solo: cuántas fotos tiene el producto en Imagenes.</t>
      </text>
    </comment>
  </commentList>
</comments>
</file>

<file path=xl/comments/comment2.xml><?xml version="1.0" encoding="utf-8"?>
<comments xmlns="http://schemas.openxmlformats.org/spreadsheetml/2006/main">
  <authors>
    <author>JCS Emprende</author>
  </authors>
  <commentList>
    <comment ref="A1" authorId="0" shapeId="0">
      <text>
        <t>El id del producto, tal como está en Productos.</t>
      </text>
    </comment>
    <comment ref="B1" authorId="0" shapeId="0">
      <text>
        <t>Código único de esta variante: id + 3 letras del color (j2-NEG). Sin colores: el mismo id.</t>
      </text>
    </comment>
    <comment ref="C1" authorId="0" shapeId="0">
      <text>
        <t>Nombre del color. Vacío si el producto no maneja colores.</t>
      </text>
    </comment>
    <comment ref="D1" authorId="0" shapeId="0">
      <text>
        <t>Unidades disponibles de este color. 0 = agotado.</t>
      </text>
    </comment>
  </commentList>
</comments>
</file>

<file path=xl/comments/comment3.xml><?xml version="1.0" encoding="utf-8"?>
<comments xmlns="http://schemas.openxmlformats.org/spreadsheetml/2006/main">
  <authors>
    <author>JCS Emprende</author>
  </authors>
  <commentList>
    <comment ref="B1" authorId="0" shapeId="0">
      <text>
        <t>1 = foto de portada; luego 2, 3...</t>
      </text>
    </comment>
    <comment ref="C1" authorId="0" shapeId="0">
      <text>
        <t>Link de la foto en Cloudinary (lo escribe JCS Emprende).</t>
      </text>
    </comment>
    <comment ref="D1" authorId="0" shapeId="0">
      <text>
        <t>Nombre del archivo en la carpeta de Drive, para ubicarlo (e2-1.jpg).</t>
      </text>
    </comment>
  </commentList>
</comments>
</file>

<file path=xl/comments/comment4.xml><?xml version="1.0" encoding="utf-8"?>
<comments xmlns="http://schemas.openxmlformats.org/spreadsheetml/2006/main">
  <authors>
    <author>JCS Emprende</author>
  </authors>
  <commentList>
    <comment ref="A1" authorId="0" shapeId="0">
      <text>
        <t>Nombre de la marca tal como se escribe en Productos.</t>
      </text>
    </comment>
    <comment ref="B1" authorId="0" shapeId="0">
      <text>
        <t>Opcional. Link del logo. Cartago, San Fermín y Mesacé ya vienen incluidos en la página.</t>
      </text>
    </comment>
  </commentList>
</comments>
</file>

<file path=xl/comments/comment5.xml><?xml version="1.0" encoding="utf-8"?>
<comments xmlns="http://schemas.openxmlformats.org/spreadsheetml/2006/main">
  <authors>
    <author>JCS Emprende</author>
  </authors>
  <commentList>
    <comment ref="A1" authorId="0" shapeId="0">
      <text>
        <t>Categorías que se pueden elegir en Productos.</t>
      </text>
    </comment>
    <comment ref="C1" authorId="0" shapeId="0">
      <text>
        <t>Subcategorías que se pueden elegir en Productos.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2" ht="28" customHeight="1">
      <c r="B2" s="1" t="inlineStr">
        <is>
          <t>Inventario del catálogo web · Talabartería Cartago</t>
        </is>
      </c>
    </row>
    <row r="3">
      <c r="B3" s="2" t="inlineStr">
        <is>
          <t>Esta hoja alimenta la página web. Lo que cambien aquí aparece en el sitio en máximo 5 minutos.</t>
        </is>
      </c>
    </row>
    <row r="4">
      <c r="B4" s="3" t="inlineStr"/>
    </row>
    <row r="5" ht="22" customHeight="1">
      <c r="B5" s="4" t="inlineStr">
        <is>
          <t>Pestañas</t>
        </is>
      </c>
    </row>
    <row r="6">
      <c r="B6" s="3" t="inlineStr">
        <is>
          <t>Productos: una fila por producto (nombre, categoría, subcategoría, marca, descripción, precio).</t>
        </is>
      </c>
    </row>
    <row r="7">
      <c r="B7" s="3" t="inlineStr">
        <is>
          <t>Variantes: una fila por cada color de cada producto, con su stock.</t>
        </is>
      </c>
    </row>
    <row r="8">
      <c r="B8" s="3" t="inlineStr">
        <is>
          <t>Imagenes: una fila por foto de cada producto, en orden. La foto 1 es la portada.</t>
        </is>
      </c>
    </row>
    <row r="9">
      <c r="B9" s="3" t="inlineStr">
        <is>
          <t>Marcas: las marcas que vende Cartago y el link de su logo (opcional).</t>
        </is>
      </c>
    </row>
    <row r="10">
      <c r="B10" s="3" t="inlineStr">
        <is>
          <t>Configuracion: la tasa del dólar. Se actualiza cada 8 días.</t>
        </is>
      </c>
    </row>
    <row r="11">
      <c r="B11" s="3" t="inlineStr">
        <is>
          <t>Listas: categorías y subcategorías permitidas.</t>
        </is>
      </c>
    </row>
    <row r="12">
      <c r="B12" s="3" t="inlineStr"/>
    </row>
    <row r="13" ht="22" customHeight="1">
      <c r="B13" s="4" t="inlineStr">
        <is>
          <t>Cómo llenar</t>
        </is>
      </c>
    </row>
    <row r="14">
      <c r="B14" s="3" t="inlineStr">
        <is>
          <t>1. La fila 2 de cada pestaña (en rosado) es un ejemplo. Bórrenla cuando carguen el primer producto real: si no, aparece en la página.</t>
        </is>
      </c>
    </row>
    <row r="15">
      <c r="B15" s="3" t="inlineStr">
        <is>
          <t>2. Cada producto tiene un id corto y único: una letra y un número (m1, m2 para monturas; e1 para equino; j1 para jinete). Nunca reutilicen un id.</t>
        </is>
      </c>
    </row>
    <row r="16">
      <c r="B16" s="3" t="inlineStr">
        <is>
          <t>3. Categoría y subcategoría se eligen de la lista. Ej.: Equino &gt; Cabeza para aperos, jáquimas, riendas y frenos.</t>
        </is>
      </c>
    </row>
    <row r="17">
      <c r="B17" s="3" t="inlineStr">
        <is>
          <t>4. Precio en pesos sin puntos ni signo: 85000. Precio 0 o vacío = "Precio a consultar" (silla mexicana, frenos a la medida, Chaparral personalizada...).</t>
        </is>
      </c>
    </row>
    <row r="18">
      <c r="B18" s="3" t="inlineStr">
        <is>
          <t>5. precio_usd es opcional: solo si quieren un precio fijo en dólares. Si queda vacío, se calcula con la tasa de Configuracion.</t>
        </is>
      </c>
    </row>
    <row r="19">
      <c r="B19" s="3" t="inlineStr">
        <is>
          <t>6. activo = NO esconde el producto sin borrarlo. destacado = SI lo muestra en la página de inicio.</t>
        </is>
      </c>
    </row>
    <row r="20">
      <c r="B20" s="3" t="inlineStr">
        <is>
          <t>7. personalizable = SI muestra un campo para que el cliente escriba el bordado (nombre del caballo, criadero o iniciales). nota_personalizacion es la pista que ve el cliente.</t>
        </is>
      </c>
    </row>
    <row r="21">
      <c r="B21" s="3" t="inlineStr">
        <is>
          <t>8. garantia es opcional: un texto que aparece resaltado en la ficha. Ej.: la garantía de cambio de los frenos.</t>
        </is>
      </c>
    </row>
    <row r="22">
      <c r="B22" s="3" t="inlineStr">
        <is>
          <t>9. En Variantes, si el producto no maneja colores, dejen una sola fila con el color vacío. Con stock 0 el color aparece como agotado.</t>
        </is>
      </c>
    </row>
    <row r="23">
      <c r="B23" s="3" t="inlineStr">
        <is>
          <t>10. Las columnas grises en cursiva (stock_total, fotos) se calculan solas. Vienen listas para 150 productos; si pasan de ahí, copien la última fórmula hacia abajo.</t>
        </is>
      </c>
    </row>
    <row r="24">
      <c r="B24" s="3" t="inlineStr"/>
    </row>
    <row r="25" ht="22" customHeight="1">
      <c r="B25" s="4" t="inlineStr">
        <is>
          <t>Fotos</t>
        </is>
      </c>
    </row>
    <row r="26">
      <c r="B26" s="3" t="inlineStr">
        <is>
          <t>Suban las fotos a la carpeta "Fotos de productos" de este mismo Drive, nombradas con el id del producto y un número: e2-1.jpg, e2-2.jpg.</t>
        </is>
      </c>
    </row>
    <row r="27">
      <c r="B27" s="3" t="inlineStr">
        <is>
          <t>JCS Emprende las optimiza y escribe el link en la pestaña Imagenes. Buena luz, fondo limpio y al menos 1200 px de lado.</t>
        </is>
      </c>
    </row>
    <row r="28">
      <c r="B28" s="3" t="inlineStr"/>
    </row>
    <row r="29" ht="22" customHeight="1">
      <c r="B29" s="4" t="inlineStr">
        <is>
          <t>Al vender</t>
        </is>
      </c>
    </row>
    <row r="30">
      <c r="B30" s="3" t="inlineStr">
        <is>
          <t>Cuando el cliente pague, resten las unidades vendidas en la columna stock de la pestaña Variantes.</t>
        </is>
      </c>
    </row>
    <row r="31">
      <c r="B31" s="3" t="inlineStr"/>
    </row>
    <row r="32">
      <c r="B32" s="5" t="inlineStr">
        <is>
          <t>No cambien los nombres de las pestañas ni de los encabezados: la página los usa para leer los datos.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6" customWidth="1" min="4" max="4"/>
    <col width="14" customWidth="1" min="5" max="5"/>
    <col width="56" customWidth="1" min="6" max="6"/>
    <col width="12" customWidth="1" min="7" max="7"/>
    <col width="11" customWidth="1" min="8" max="8"/>
    <col width="8" customWidth="1" min="9" max="9"/>
    <col width="10" customWidth="1" min="10" max="10"/>
    <col width="13" customWidth="1" min="11" max="11"/>
    <col width="40" customWidth="1" min="12" max="12"/>
    <col width="40" customWidth="1" min="13" max="13"/>
    <col width="11" customWidth="1" min="14" max="14"/>
    <col width="7" customWidth="1" min="15" max="15"/>
  </cols>
  <sheetData>
    <row r="1" ht="24" customHeight="1">
      <c r="A1" s="6" t="inlineStr">
        <is>
          <t>id</t>
        </is>
      </c>
      <c r="B1" s="6" t="inlineStr">
        <is>
          <t>nombre</t>
        </is>
      </c>
      <c r="C1" s="6" t="inlineStr">
        <is>
          <t>categoria</t>
        </is>
      </c>
      <c r="D1" s="6" t="inlineStr">
        <is>
          <t>subcategoria</t>
        </is>
      </c>
      <c r="E1" s="6" t="inlineStr">
        <is>
          <t>marca</t>
        </is>
      </c>
      <c r="F1" s="6" t="inlineStr">
        <is>
          <t>descripcion</t>
        </is>
      </c>
      <c r="G1" s="6" t="inlineStr">
        <is>
          <t>precio</t>
        </is>
      </c>
      <c r="H1" s="6" t="inlineStr">
        <is>
          <t>precio_usd</t>
        </is>
      </c>
      <c r="I1" s="6" t="inlineStr">
        <is>
          <t>activo</t>
        </is>
      </c>
      <c r="J1" s="6" t="inlineStr">
        <is>
          <t>destacado</t>
        </is>
      </c>
      <c r="K1" s="6" t="inlineStr">
        <is>
          <t>personalizable</t>
        </is>
      </c>
      <c r="L1" s="6" t="inlineStr">
        <is>
          <t>nota_personalizacion</t>
        </is>
      </c>
      <c r="M1" s="6" t="inlineStr">
        <is>
          <t>garantia</t>
        </is>
      </c>
      <c r="N1" s="6" t="inlineStr">
        <is>
          <t>stock_total</t>
        </is>
      </c>
      <c r="O1" s="6" t="inlineStr">
        <is>
          <t>fotos</t>
        </is>
      </c>
    </row>
    <row r="2">
      <c r="A2" s="7" t="inlineStr">
        <is>
          <t>e2</t>
        </is>
      </c>
      <c r="B2" s="7" t="inlineStr">
        <is>
          <t>Freno a la medida</t>
        </is>
      </c>
      <c r="C2" s="7" t="inlineStr">
        <is>
          <t>Equino</t>
        </is>
      </c>
      <c r="D2" s="7" t="inlineStr">
        <is>
          <t>Cabeza</t>
        </is>
      </c>
      <c r="E2" s="7" t="inlineStr">
        <is>
          <t>Cartago</t>
        </is>
      </c>
      <c r="F2" s="8" t="inlineStr">
        <is>
          <t>Freno fabricado bajo medida para tu caballo.</t>
        </is>
      </c>
      <c r="G2" s="9" t="n">
        <v>0</v>
      </c>
      <c r="I2" s="7" t="inlineStr">
        <is>
          <t>SI</t>
        </is>
      </c>
      <c r="J2" s="7" t="inlineStr">
        <is>
          <t>SI</t>
        </is>
      </c>
      <c r="K2" s="7" t="inlineStr">
        <is>
          <t>NO</t>
        </is>
      </c>
      <c r="M2" s="8" t="inlineStr">
        <is>
          <t>Garantía de cambio: lo ensayas y, si no se le acomoda a tu caballo, te lo cambiamos sin costo adicional.</t>
        </is>
      </c>
      <c r="N2" s="10">
        <f>IF(A2="","",SUMIF(Variantes!A:A,A2,Variantes!D:D))</f>
        <v/>
      </c>
      <c r="O2" s="10">
        <f>IF(A2="","",COUNTIF(Imagenes!A:A,A2))</f>
        <v/>
      </c>
    </row>
    <row r="3">
      <c r="N3" s="10">
        <f>IF(A3="","",SUMIF(Variantes!A:A,A3,Variantes!D:D))</f>
        <v/>
      </c>
      <c r="O3" s="10">
        <f>IF(A3="","",COUNTIF(Imagenes!A:A,A3))</f>
        <v/>
      </c>
    </row>
    <row r="4">
      <c r="N4" s="10">
        <f>IF(A4="","",SUMIF(Variantes!A:A,A4,Variantes!D:D))</f>
        <v/>
      </c>
      <c r="O4" s="10">
        <f>IF(A4="","",COUNTIF(Imagenes!A:A,A4))</f>
        <v/>
      </c>
    </row>
    <row r="5">
      <c r="N5" s="10">
        <f>IF(A5="","",SUMIF(Variantes!A:A,A5,Variantes!D:D))</f>
        <v/>
      </c>
      <c r="O5" s="10">
        <f>IF(A5="","",COUNTIF(Imagenes!A:A,A5))</f>
        <v/>
      </c>
    </row>
    <row r="6">
      <c r="N6" s="10">
        <f>IF(A6="","",SUMIF(Variantes!A:A,A6,Variantes!D:D))</f>
        <v/>
      </c>
      <c r="O6" s="10">
        <f>IF(A6="","",COUNTIF(Imagenes!A:A,A6))</f>
        <v/>
      </c>
    </row>
    <row r="7">
      <c r="N7" s="10">
        <f>IF(A7="","",SUMIF(Variantes!A:A,A7,Variantes!D:D))</f>
        <v/>
      </c>
      <c r="O7" s="10">
        <f>IF(A7="","",COUNTIF(Imagenes!A:A,A7))</f>
        <v/>
      </c>
    </row>
    <row r="8">
      <c r="N8" s="10">
        <f>IF(A8="","",SUMIF(Variantes!A:A,A8,Variantes!D:D))</f>
        <v/>
      </c>
      <c r="O8" s="10">
        <f>IF(A8="","",COUNTIF(Imagenes!A:A,A8))</f>
        <v/>
      </c>
    </row>
    <row r="9">
      <c r="N9" s="10">
        <f>IF(A9="","",SUMIF(Variantes!A:A,A9,Variantes!D:D))</f>
        <v/>
      </c>
      <c r="O9" s="10">
        <f>IF(A9="","",COUNTIF(Imagenes!A:A,A9))</f>
        <v/>
      </c>
    </row>
    <row r="10">
      <c r="N10" s="10">
        <f>IF(A10="","",SUMIF(Variantes!A:A,A10,Variantes!D:D))</f>
        <v/>
      </c>
      <c r="O10" s="10">
        <f>IF(A10="","",COUNTIF(Imagenes!A:A,A10))</f>
        <v/>
      </c>
    </row>
    <row r="11">
      <c r="N11" s="10">
        <f>IF(A11="","",SUMIF(Variantes!A:A,A11,Variantes!D:D))</f>
        <v/>
      </c>
      <c r="O11" s="10">
        <f>IF(A11="","",COUNTIF(Imagenes!A:A,A11))</f>
        <v/>
      </c>
    </row>
    <row r="12">
      <c r="N12" s="10">
        <f>IF(A12="","",SUMIF(Variantes!A:A,A12,Variantes!D:D))</f>
        <v/>
      </c>
      <c r="O12" s="10">
        <f>IF(A12="","",COUNTIF(Imagenes!A:A,A12))</f>
        <v/>
      </c>
    </row>
    <row r="13">
      <c r="N13" s="10">
        <f>IF(A13="","",SUMIF(Variantes!A:A,A13,Variantes!D:D))</f>
        <v/>
      </c>
      <c r="O13" s="10">
        <f>IF(A13="","",COUNTIF(Imagenes!A:A,A13))</f>
        <v/>
      </c>
    </row>
    <row r="14">
      <c r="N14" s="10">
        <f>IF(A14="","",SUMIF(Variantes!A:A,A14,Variantes!D:D))</f>
        <v/>
      </c>
      <c r="O14" s="10">
        <f>IF(A14="","",COUNTIF(Imagenes!A:A,A14))</f>
        <v/>
      </c>
    </row>
    <row r="15">
      <c r="N15" s="10">
        <f>IF(A15="","",SUMIF(Variantes!A:A,A15,Variantes!D:D))</f>
        <v/>
      </c>
      <c r="O15" s="10">
        <f>IF(A15="","",COUNTIF(Imagenes!A:A,A15))</f>
        <v/>
      </c>
    </row>
    <row r="16">
      <c r="N16" s="10">
        <f>IF(A16="","",SUMIF(Variantes!A:A,A16,Variantes!D:D))</f>
        <v/>
      </c>
      <c r="O16" s="10">
        <f>IF(A16="","",COUNTIF(Imagenes!A:A,A16))</f>
        <v/>
      </c>
    </row>
    <row r="17">
      <c r="N17" s="10">
        <f>IF(A17="","",SUMIF(Variantes!A:A,A17,Variantes!D:D))</f>
        <v/>
      </c>
      <c r="O17" s="10">
        <f>IF(A17="","",COUNTIF(Imagenes!A:A,A17))</f>
        <v/>
      </c>
    </row>
    <row r="18">
      <c r="N18" s="10">
        <f>IF(A18="","",SUMIF(Variantes!A:A,A18,Variantes!D:D))</f>
        <v/>
      </c>
      <c r="O18" s="10">
        <f>IF(A18="","",COUNTIF(Imagenes!A:A,A18))</f>
        <v/>
      </c>
    </row>
    <row r="19">
      <c r="N19" s="10">
        <f>IF(A19="","",SUMIF(Variantes!A:A,A19,Variantes!D:D))</f>
        <v/>
      </c>
      <c r="O19" s="10">
        <f>IF(A19="","",COUNTIF(Imagenes!A:A,A19))</f>
        <v/>
      </c>
    </row>
    <row r="20">
      <c r="N20" s="10">
        <f>IF(A20="","",SUMIF(Variantes!A:A,A20,Variantes!D:D))</f>
        <v/>
      </c>
      <c r="O20" s="10">
        <f>IF(A20="","",COUNTIF(Imagenes!A:A,A20))</f>
        <v/>
      </c>
    </row>
    <row r="21">
      <c r="N21" s="10">
        <f>IF(A21="","",SUMIF(Variantes!A:A,A21,Variantes!D:D))</f>
        <v/>
      </c>
      <c r="O21" s="10">
        <f>IF(A21="","",COUNTIF(Imagenes!A:A,A21))</f>
        <v/>
      </c>
    </row>
    <row r="22">
      <c r="N22" s="10">
        <f>IF(A22="","",SUMIF(Variantes!A:A,A22,Variantes!D:D))</f>
        <v/>
      </c>
      <c r="O22" s="10">
        <f>IF(A22="","",COUNTIF(Imagenes!A:A,A22))</f>
        <v/>
      </c>
    </row>
    <row r="23">
      <c r="N23" s="10">
        <f>IF(A23="","",SUMIF(Variantes!A:A,A23,Variantes!D:D))</f>
        <v/>
      </c>
      <c r="O23" s="10">
        <f>IF(A23="","",COUNTIF(Imagenes!A:A,A23))</f>
        <v/>
      </c>
    </row>
    <row r="24">
      <c r="N24" s="10">
        <f>IF(A24="","",SUMIF(Variantes!A:A,A24,Variantes!D:D))</f>
        <v/>
      </c>
      <c r="O24" s="10">
        <f>IF(A24="","",COUNTIF(Imagenes!A:A,A24))</f>
        <v/>
      </c>
    </row>
    <row r="25">
      <c r="N25" s="10">
        <f>IF(A25="","",SUMIF(Variantes!A:A,A25,Variantes!D:D))</f>
        <v/>
      </c>
      <c r="O25" s="10">
        <f>IF(A25="","",COUNTIF(Imagenes!A:A,A25))</f>
        <v/>
      </c>
    </row>
    <row r="26">
      <c r="N26" s="10">
        <f>IF(A26="","",SUMIF(Variantes!A:A,A26,Variantes!D:D))</f>
        <v/>
      </c>
      <c r="O26" s="10">
        <f>IF(A26="","",COUNTIF(Imagenes!A:A,A26))</f>
        <v/>
      </c>
    </row>
    <row r="27">
      <c r="N27" s="10">
        <f>IF(A27="","",SUMIF(Variantes!A:A,A27,Variantes!D:D))</f>
        <v/>
      </c>
      <c r="O27" s="10">
        <f>IF(A27="","",COUNTIF(Imagenes!A:A,A27))</f>
        <v/>
      </c>
    </row>
    <row r="28">
      <c r="N28" s="10">
        <f>IF(A28="","",SUMIF(Variantes!A:A,A28,Variantes!D:D))</f>
        <v/>
      </c>
      <c r="O28" s="10">
        <f>IF(A28="","",COUNTIF(Imagenes!A:A,A28))</f>
        <v/>
      </c>
    </row>
    <row r="29">
      <c r="N29" s="10">
        <f>IF(A29="","",SUMIF(Variantes!A:A,A29,Variantes!D:D))</f>
        <v/>
      </c>
      <c r="O29" s="10">
        <f>IF(A29="","",COUNTIF(Imagenes!A:A,A29))</f>
        <v/>
      </c>
    </row>
    <row r="30">
      <c r="N30" s="10">
        <f>IF(A30="","",SUMIF(Variantes!A:A,A30,Variantes!D:D))</f>
        <v/>
      </c>
      <c r="O30" s="10">
        <f>IF(A30="","",COUNTIF(Imagenes!A:A,A30))</f>
        <v/>
      </c>
    </row>
    <row r="31">
      <c r="N31" s="10">
        <f>IF(A31="","",SUMIF(Variantes!A:A,A31,Variantes!D:D))</f>
        <v/>
      </c>
      <c r="O31" s="10">
        <f>IF(A31="","",COUNTIF(Imagenes!A:A,A31))</f>
        <v/>
      </c>
    </row>
    <row r="32">
      <c r="N32" s="10">
        <f>IF(A32="","",SUMIF(Variantes!A:A,A32,Variantes!D:D))</f>
        <v/>
      </c>
      <c r="O32" s="10">
        <f>IF(A32="","",COUNTIF(Imagenes!A:A,A32))</f>
        <v/>
      </c>
    </row>
    <row r="33">
      <c r="N33" s="10">
        <f>IF(A33="","",SUMIF(Variantes!A:A,A33,Variantes!D:D))</f>
        <v/>
      </c>
      <c r="O33" s="10">
        <f>IF(A33="","",COUNTIF(Imagenes!A:A,A33))</f>
        <v/>
      </c>
    </row>
    <row r="34">
      <c r="N34" s="10">
        <f>IF(A34="","",SUMIF(Variantes!A:A,A34,Variantes!D:D))</f>
        <v/>
      </c>
      <c r="O34" s="10">
        <f>IF(A34="","",COUNTIF(Imagenes!A:A,A34))</f>
        <v/>
      </c>
    </row>
    <row r="35">
      <c r="N35" s="10">
        <f>IF(A35="","",SUMIF(Variantes!A:A,A35,Variantes!D:D))</f>
        <v/>
      </c>
      <c r="O35" s="10">
        <f>IF(A35="","",COUNTIF(Imagenes!A:A,A35))</f>
        <v/>
      </c>
    </row>
    <row r="36">
      <c r="N36" s="10">
        <f>IF(A36="","",SUMIF(Variantes!A:A,A36,Variantes!D:D))</f>
        <v/>
      </c>
      <c r="O36" s="10">
        <f>IF(A36="","",COUNTIF(Imagenes!A:A,A36))</f>
        <v/>
      </c>
    </row>
    <row r="37">
      <c r="N37" s="10">
        <f>IF(A37="","",SUMIF(Variantes!A:A,A37,Variantes!D:D))</f>
        <v/>
      </c>
      <c r="O37" s="10">
        <f>IF(A37="","",COUNTIF(Imagenes!A:A,A37))</f>
        <v/>
      </c>
    </row>
    <row r="38">
      <c r="N38" s="10">
        <f>IF(A38="","",SUMIF(Variantes!A:A,A38,Variantes!D:D))</f>
        <v/>
      </c>
      <c r="O38" s="10">
        <f>IF(A38="","",COUNTIF(Imagenes!A:A,A38))</f>
        <v/>
      </c>
    </row>
    <row r="39">
      <c r="N39" s="10">
        <f>IF(A39="","",SUMIF(Variantes!A:A,A39,Variantes!D:D))</f>
        <v/>
      </c>
      <c r="O39" s="10">
        <f>IF(A39="","",COUNTIF(Imagenes!A:A,A39))</f>
        <v/>
      </c>
    </row>
    <row r="40">
      <c r="N40" s="10">
        <f>IF(A40="","",SUMIF(Variantes!A:A,A40,Variantes!D:D))</f>
        <v/>
      </c>
      <c r="O40" s="10">
        <f>IF(A40="","",COUNTIF(Imagenes!A:A,A40))</f>
        <v/>
      </c>
    </row>
    <row r="41">
      <c r="N41" s="10">
        <f>IF(A41="","",SUMIF(Variantes!A:A,A41,Variantes!D:D))</f>
        <v/>
      </c>
      <c r="O41" s="10">
        <f>IF(A41="","",COUNTIF(Imagenes!A:A,A41))</f>
        <v/>
      </c>
    </row>
    <row r="42">
      <c r="N42" s="10">
        <f>IF(A42="","",SUMIF(Variantes!A:A,A42,Variantes!D:D))</f>
        <v/>
      </c>
      <c r="O42" s="10">
        <f>IF(A42="","",COUNTIF(Imagenes!A:A,A42))</f>
        <v/>
      </c>
    </row>
    <row r="43">
      <c r="N43" s="10">
        <f>IF(A43="","",SUMIF(Variantes!A:A,A43,Variantes!D:D))</f>
        <v/>
      </c>
      <c r="O43" s="10">
        <f>IF(A43="","",COUNTIF(Imagenes!A:A,A43))</f>
        <v/>
      </c>
    </row>
    <row r="44">
      <c r="N44" s="10">
        <f>IF(A44="","",SUMIF(Variantes!A:A,A44,Variantes!D:D))</f>
        <v/>
      </c>
      <c r="O44" s="10">
        <f>IF(A44="","",COUNTIF(Imagenes!A:A,A44))</f>
        <v/>
      </c>
    </row>
    <row r="45">
      <c r="N45" s="10">
        <f>IF(A45="","",SUMIF(Variantes!A:A,A45,Variantes!D:D))</f>
        <v/>
      </c>
      <c r="O45" s="10">
        <f>IF(A45="","",COUNTIF(Imagenes!A:A,A45))</f>
        <v/>
      </c>
    </row>
    <row r="46">
      <c r="N46" s="10">
        <f>IF(A46="","",SUMIF(Variantes!A:A,A46,Variantes!D:D))</f>
        <v/>
      </c>
      <c r="O46" s="10">
        <f>IF(A46="","",COUNTIF(Imagenes!A:A,A46))</f>
        <v/>
      </c>
    </row>
    <row r="47">
      <c r="N47" s="10">
        <f>IF(A47="","",SUMIF(Variantes!A:A,A47,Variantes!D:D))</f>
        <v/>
      </c>
      <c r="O47" s="10">
        <f>IF(A47="","",COUNTIF(Imagenes!A:A,A47))</f>
        <v/>
      </c>
    </row>
    <row r="48">
      <c r="N48" s="10">
        <f>IF(A48="","",SUMIF(Variantes!A:A,A48,Variantes!D:D))</f>
        <v/>
      </c>
      <c r="O48" s="10">
        <f>IF(A48="","",COUNTIF(Imagenes!A:A,A48))</f>
        <v/>
      </c>
    </row>
    <row r="49">
      <c r="N49" s="10">
        <f>IF(A49="","",SUMIF(Variantes!A:A,A49,Variantes!D:D))</f>
        <v/>
      </c>
      <c r="O49" s="10">
        <f>IF(A49="","",COUNTIF(Imagenes!A:A,A49))</f>
        <v/>
      </c>
    </row>
    <row r="50">
      <c r="N50" s="10">
        <f>IF(A50="","",SUMIF(Variantes!A:A,A50,Variantes!D:D))</f>
        <v/>
      </c>
      <c r="O50" s="10">
        <f>IF(A50="","",COUNTIF(Imagenes!A:A,A50))</f>
        <v/>
      </c>
    </row>
    <row r="51">
      <c r="N51" s="10">
        <f>IF(A51="","",SUMIF(Variantes!A:A,A51,Variantes!D:D))</f>
        <v/>
      </c>
      <c r="O51" s="10">
        <f>IF(A51="","",COUNTIF(Imagenes!A:A,A51))</f>
        <v/>
      </c>
    </row>
    <row r="52">
      <c r="N52" s="10">
        <f>IF(A52="","",SUMIF(Variantes!A:A,A52,Variantes!D:D))</f>
        <v/>
      </c>
      <c r="O52" s="10">
        <f>IF(A52="","",COUNTIF(Imagenes!A:A,A52))</f>
        <v/>
      </c>
    </row>
    <row r="53">
      <c r="N53" s="10">
        <f>IF(A53="","",SUMIF(Variantes!A:A,A53,Variantes!D:D))</f>
        <v/>
      </c>
      <c r="O53" s="10">
        <f>IF(A53="","",COUNTIF(Imagenes!A:A,A53))</f>
        <v/>
      </c>
    </row>
    <row r="54">
      <c r="N54" s="10">
        <f>IF(A54="","",SUMIF(Variantes!A:A,A54,Variantes!D:D))</f>
        <v/>
      </c>
      <c r="O54" s="10">
        <f>IF(A54="","",COUNTIF(Imagenes!A:A,A54))</f>
        <v/>
      </c>
    </row>
    <row r="55">
      <c r="N55" s="10">
        <f>IF(A55="","",SUMIF(Variantes!A:A,A55,Variantes!D:D))</f>
        <v/>
      </c>
      <c r="O55" s="10">
        <f>IF(A55="","",COUNTIF(Imagenes!A:A,A55))</f>
        <v/>
      </c>
    </row>
    <row r="56">
      <c r="N56" s="10">
        <f>IF(A56="","",SUMIF(Variantes!A:A,A56,Variantes!D:D))</f>
        <v/>
      </c>
      <c r="O56" s="10">
        <f>IF(A56="","",COUNTIF(Imagenes!A:A,A56))</f>
        <v/>
      </c>
    </row>
    <row r="57">
      <c r="N57" s="10">
        <f>IF(A57="","",SUMIF(Variantes!A:A,A57,Variantes!D:D))</f>
        <v/>
      </c>
      <c r="O57" s="10">
        <f>IF(A57="","",COUNTIF(Imagenes!A:A,A57))</f>
        <v/>
      </c>
    </row>
    <row r="58">
      <c r="N58" s="10">
        <f>IF(A58="","",SUMIF(Variantes!A:A,A58,Variantes!D:D))</f>
        <v/>
      </c>
      <c r="O58" s="10">
        <f>IF(A58="","",COUNTIF(Imagenes!A:A,A58))</f>
        <v/>
      </c>
    </row>
    <row r="59">
      <c r="N59" s="10">
        <f>IF(A59="","",SUMIF(Variantes!A:A,A59,Variantes!D:D))</f>
        <v/>
      </c>
      <c r="O59" s="10">
        <f>IF(A59="","",COUNTIF(Imagenes!A:A,A59))</f>
        <v/>
      </c>
    </row>
    <row r="60">
      <c r="N60" s="10">
        <f>IF(A60="","",SUMIF(Variantes!A:A,A60,Variantes!D:D))</f>
        <v/>
      </c>
      <c r="O60" s="10">
        <f>IF(A60="","",COUNTIF(Imagenes!A:A,A60))</f>
        <v/>
      </c>
    </row>
    <row r="61">
      <c r="N61" s="10">
        <f>IF(A61="","",SUMIF(Variantes!A:A,A61,Variantes!D:D))</f>
        <v/>
      </c>
      <c r="O61" s="10">
        <f>IF(A61="","",COUNTIF(Imagenes!A:A,A61))</f>
        <v/>
      </c>
    </row>
    <row r="62">
      <c r="N62" s="10">
        <f>IF(A62="","",SUMIF(Variantes!A:A,A62,Variantes!D:D))</f>
        <v/>
      </c>
      <c r="O62" s="10">
        <f>IF(A62="","",COUNTIF(Imagenes!A:A,A62))</f>
        <v/>
      </c>
    </row>
    <row r="63">
      <c r="N63" s="10">
        <f>IF(A63="","",SUMIF(Variantes!A:A,A63,Variantes!D:D))</f>
        <v/>
      </c>
      <c r="O63" s="10">
        <f>IF(A63="","",COUNTIF(Imagenes!A:A,A63))</f>
        <v/>
      </c>
    </row>
    <row r="64">
      <c r="N64" s="10">
        <f>IF(A64="","",SUMIF(Variantes!A:A,A64,Variantes!D:D))</f>
        <v/>
      </c>
      <c r="O64" s="10">
        <f>IF(A64="","",COUNTIF(Imagenes!A:A,A64))</f>
        <v/>
      </c>
    </row>
    <row r="65">
      <c r="N65" s="10">
        <f>IF(A65="","",SUMIF(Variantes!A:A,A65,Variantes!D:D))</f>
        <v/>
      </c>
      <c r="O65" s="10">
        <f>IF(A65="","",COUNTIF(Imagenes!A:A,A65))</f>
        <v/>
      </c>
    </row>
    <row r="66">
      <c r="N66" s="10">
        <f>IF(A66="","",SUMIF(Variantes!A:A,A66,Variantes!D:D))</f>
        <v/>
      </c>
      <c r="O66" s="10">
        <f>IF(A66="","",COUNTIF(Imagenes!A:A,A66))</f>
        <v/>
      </c>
    </row>
    <row r="67">
      <c r="N67" s="10">
        <f>IF(A67="","",SUMIF(Variantes!A:A,A67,Variantes!D:D))</f>
        <v/>
      </c>
      <c r="O67" s="10">
        <f>IF(A67="","",COUNTIF(Imagenes!A:A,A67))</f>
        <v/>
      </c>
    </row>
    <row r="68">
      <c r="N68" s="10">
        <f>IF(A68="","",SUMIF(Variantes!A:A,A68,Variantes!D:D))</f>
        <v/>
      </c>
      <c r="O68" s="10">
        <f>IF(A68="","",COUNTIF(Imagenes!A:A,A68))</f>
        <v/>
      </c>
    </row>
    <row r="69">
      <c r="N69" s="10">
        <f>IF(A69="","",SUMIF(Variantes!A:A,A69,Variantes!D:D))</f>
        <v/>
      </c>
      <c r="O69" s="10">
        <f>IF(A69="","",COUNTIF(Imagenes!A:A,A69))</f>
        <v/>
      </c>
    </row>
    <row r="70">
      <c r="N70" s="10">
        <f>IF(A70="","",SUMIF(Variantes!A:A,A70,Variantes!D:D))</f>
        <v/>
      </c>
      <c r="O70" s="10">
        <f>IF(A70="","",COUNTIF(Imagenes!A:A,A70))</f>
        <v/>
      </c>
    </row>
    <row r="71">
      <c r="N71" s="10">
        <f>IF(A71="","",SUMIF(Variantes!A:A,A71,Variantes!D:D))</f>
        <v/>
      </c>
      <c r="O71" s="10">
        <f>IF(A71="","",COUNTIF(Imagenes!A:A,A71))</f>
        <v/>
      </c>
    </row>
    <row r="72">
      <c r="N72" s="10">
        <f>IF(A72="","",SUMIF(Variantes!A:A,A72,Variantes!D:D))</f>
        <v/>
      </c>
      <c r="O72" s="10">
        <f>IF(A72="","",COUNTIF(Imagenes!A:A,A72))</f>
        <v/>
      </c>
    </row>
    <row r="73">
      <c r="N73" s="10">
        <f>IF(A73="","",SUMIF(Variantes!A:A,A73,Variantes!D:D))</f>
        <v/>
      </c>
      <c r="O73" s="10">
        <f>IF(A73="","",COUNTIF(Imagenes!A:A,A73))</f>
        <v/>
      </c>
    </row>
    <row r="74">
      <c r="N74" s="10">
        <f>IF(A74="","",SUMIF(Variantes!A:A,A74,Variantes!D:D))</f>
        <v/>
      </c>
      <c r="O74" s="10">
        <f>IF(A74="","",COUNTIF(Imagenes!A:A,A74))</f>
        <v/>
      </c>
    </row>
    <row r="75">
      <c r="N75" s="10">
        <f>IF(A75="","",SUMIF(Variantes!A:A,A75,Variantes!D:D))</f>
        <v/>
      </c>
      <c r="O75" s="10">
        <f>IF(A75="","",COUNTIF(Imagenes!A:A,A75))</f>
        <v/>
      </c>
    </row>
    <row r="76">
      <c r="N76" s="10">
        <f>IF(A76="","",SUMIF(Variantes!A:A,A76,Variantes!D:D))</f>
        <v/>
      </c>
      <c r="O76" s="10">
        <f>IF(A76="","",COUNTIF(Imagenes!A:A,A76))</f>
        <v/>
      </c>
    </row>
    <row r="77">
      <c r="N77" s="10">
        <f>IF(A77="","",SUMIF(Variantes!A:A,A77,Variantes!D:D))</f>
        <v/>
      </c>
      <c r="O77" s="10">
        <f>IF(A77="","",COUNTIF(Imagenes!A:A,A77))</f>
        <v/>
      </c>
    </row>
    <row r="78">
      <c r="N78" s="10">
        <f>IF(A78="","",SUMIF(Variantes!A:A,A78,Variantes!D:D))</f>
        <v/>
      </c>
      <c r="O78" s="10">
        <f>IF(A78="","",COUNTIF(Imagenes!A:A,A78))</f>
        <v/>
      </c>
    </row>
    <row r="79">
      <c r="N79" s="10">
        <f>IF(A79="","",SUMIF(Variantes!A:A,A79,Variantes!D:D))</f>
        <v/>
      </c>
      <c r="O79" s="10">
        <f>IF(A79="","",COUNTIF(Imagenes!A:A,A79))</f>
        <v/>
      </c>
    </row>
    <row r="80">
      <c r="N80" s="10">
        <f>IF(A80="","",SUMIF(Variantes!A:A,A80,Variantes!D:D))</f>
        <v/>
      </c>
      <c r="O80" s="10">
        <f>IF(A80="","",COUNTIF(Imagenes!A:A,A80))</f>
        <v/>
      </c>
    </row>
    <row r="81">
      <c r="N81" s="10">
        <f>IF(A81="","",SUMIF(Variantes!A:A,A81,Variantes!D:D))</f>
        <v/>
      </c>
      <c r="O81" s="10">
        <f>IF(A81="","",COUNTIF(Imagenes!A:A,A81))</f>
        <v/>
      </c>
    </row>
    <row r="82">
      <c r="N82" s="10">
        <f>IF(A82="","",SUMIF(Variantes!A:A,A82,Variantes!D:D))</f>
        <v/>
      </c>
      <c r="O82" s="10">
        <f>IF(A82="","",COUNTIF(Imagenes!A:A,A82))</f>
        <v/>
      </c>
    </row>
    <row r="83">
      <c r="N83" s="10">
        <f>IF(A83="","",SUMIF(Variantes!A:A,A83,Variantes!D:D))</f>
        <v/>
      </c>
      <c r="O83" s="10">
        <f>IF(A83="","",COUNTIF(Imagenes!A:A,A83))</f>
        <v/>
      </c>
    </row>
    <row r="84">
      <c r="N84" s="10">
        <f>IF(A84="","",SUMIF(Variantes!A:A,A84,Variantes!D:D))</f>
        <v/>
      </c>
      <c r="O84" s="10">
        <f>IF(A84="","",COUNTIF(Imagenes!A:A,A84))</f>
        <v/>
      </c>
    </row>
    <row r="85">
      <c r="N85" s="10">
        <f>IF(A85="","",SUMIF(Variantes!A:A,A85,Variantes!D:D))</f>
        <v/>
      </c>
      <c r="O85" s="10">
        <f>IF(A85="","",COUNTIF(Imagenes!A:A,A85))</f>
        <v/>
      </c>
    </row>
    <row r="86">
      <c r="N86" s="10">
        <f>IF(A86="","",SUMIF(Variantes!A:A,A86,Variantes!D:D))</f>
        <v/>
      </c>
      <c r="O86" s="10">
        <f>IF(A86="","",COUNTIF(Imagenes!A:A,A86))</f>
        <v/>
      </c>
    </row>
    <row r="87">
      <c r="N87" s="10">
        <f>IF(A87="","",SUMIF(Variantes!A:A,A87,Variantes!D:D))</f>
        <v/>
      </c>
      <c r="O87" s="10">
        <f>IF(A87="","",COUNTIF(Imagenes!A:A,A87))</f>
        <v/>
      </c>
    </row>
    <row r="88">
      <c r="N88" s="10">
        <f>IF(A88="","",SUMIF(Variantes!A:A,A88,Variantes!D:D))</f>
        <v/>
      </c>
      <c r="O88" s="10">
        <f>IF(A88="","",COUNTIF(Imagenes!A:A,A88))</f>
        <v/>
      </c>
    </row>
    <row r="89">
      <c r="N89" s="10">
        <f>IF(A89="","",SUMIF(Variantes!A:A,A89,Variantes!D:D))</f>
        <v/>
      </c>
      <c r="O89" s="10">
        <f>IF(A89="","",COUNTIF(Imagenes!A:A,A89))</f>
        <v/>
      </c>
    </row>
    <row r="90">
      <c r="N90" s="10">
        <f>IF(A90="","",SUMIF(Variantes!A:A,A90,Variantes!D:D))</f>
        <v/>
      </c>
      <c r="O90" s="10">
        <f>IF(A90="","",COUNTIF(Imagenes!A:A,A90))</f>
        <v/>
      </c>
    </row>
    <row r="91">
      <c r="N91" s="10">
        <f>IF(A91="","",SUMIF(Variantes!A:A,A91,Variantes!D:D))</f>
        <v/>
      </c>
      <c r="O91" s="10">
        <f>IF(A91="","",COUNTIF(Imagenes!A:A,A91))</f>
        <v/>
      </c>
    </row>
    <row r="92">
      <c r="N92" s="10">
        <f>IF(A92="","",SUMIF(Variantes!A:A,A92,Variantes!D:D))</f>
        <v/>
      </c>
      <c r="O92" s="10">
        <f>IF(A92="","",COUNTIF(Imagenes!A:A,A92))</f>
        <v/>
      </c>
    </row>
    <row r="93">
      <c r="N93" s="10">
        <f>IF(A93="","",SUMIF(Variantes!A:A,A93,Variantes!D:D))</f>
        <v/>
      </c>
      <c r="O93" s="10">
        <f>IF(A93="","",COUNTIF(Imagenes!A:A,A93))</f>
        <v/>
      </c>
    </row>
    <row r="94">
      <c r="N94" s="10">
        <f>IF(A94="","",SUMIF(Variantes!A:A,A94,Variantes!D:D))</f>
        <v/>
      </c>
      <c r="O94" s="10">
        <f>IF(A94="","",COUNTIF(Imagenes!A:A,A94))</f>
        <v/>
      </c>
    </row>
    <row r="95">
      <c r="N95" s="10">
        <f>IF(A95="","",SUMIF(Variantes!A:A,A95,Variantes!D:D))</f>
        <v/>
      </c>
      <c r="O95" s="10">
        <f>IF(A95="","",COUNTIF(Imagenes!A:A,A95))</f>
        <v/>
      </c>
    </row>
    <row r="96">
      <c r="N96" s="10">
        <f>IF(A96="","",SUMIF(Variantes!A:A,A96,Variantes!D:D))</f>
        <v/>
      </c>
      <c r="O96" s="10">
        <f>IF(A96="","",COUNTIF(Imagenes!A:A,A96))</f>
        <v/>
      </c>
    </row>
    <row r="97">
      <c r="N97" s="10">
        <f>IF(A97="","",SUMIF(Variantes!A:A,A97,Variantes!D:D))</f>
        <v/>
      </c>
      <c r="O97" s="10">
        <f>IF(A97="","",COUNTIF(Imagenes!A:A,A97))</f>
        <v/>
      </c>
    </row>
    <row r="98">
      <c r="N98" s="10">
        <f>IF(A98="","",SUMIF(Variantes!A:A,A98,Variantes!D:D))</f>
        <v/>
      </c>
      <c r="O98" s="10">
        <f>IF(A98="","",COUNTIF(Imagenes!A:A,A98))</f>
        <v/>
      </c>
    </row>
    <row r="99">
      <c r="N99" s="10">
        <f>IF(A99="","",SUMIF(Variantes!A:A,A99,Variantes!D:D))</f>
        <v/>
      </c>
      <c r="O99" s="10">
        <f>IF(A99="","",COUNTIF(Imagenes!A:A,A99))</f>
        <v/>
      </c>
    </row>
    <row r="100">
      <c r="N100" s="10">
        <f>IF(A100="","",SUMIF(Variantes!A:A,A100,Variantes!D:D))</f>
        <v/>
      </c>
      <c r="O100" s="10">
        <f>IF(A100="","",COUNTIF(Imagenes!A:A,A100))</f>
        <v/>
      </c>
    </row>
    <row r="101">
      <c r="N101" s="10">
        <f>IF(A101="","",SUMIF(Variantes!A:A,A101,Variantes!D:D))</f>
        <v/>
      </c>
      <c r="O101" s="10">
        <f>IF(A101="","",COUNTIF(Imagenes!A:A,A101))</f>
        <v/>
      </c>
    </row>
    <row r="102">
      <c r="N102" s="10">
        <f>IF(A102="","",SUMIF(Variantes!A:A,A102,Variantes!D:D))</f>
        <v/>
      </c>
      <c r="O102" s="10">
        <f>IF(A102="","",COUNTIF(Imagenes!A:A,A102))</f>
        <v/>
      </c>
    </row>
    <row r="103">
      <c r="N103" s="10">
        <f>IF(A103="","",SUMIF(Variantes!A:A,A103,Variantes!D:D))</f>
        <v/>
      </c>
      <c r="O103" s="10">
        <f>IF(A103="","",COUNTIF(Imagenes!A:A,A103))</f>
        <v/>
      </c>
    </row>
    <row r="104">
      <c r="N104" s="10">
        <f>IF(A104="","",SUMIF(Variantes!A:A,A104,Variantes!D:D))</f>
        <v/>
      </c>
      <c r="O104" s="10">
        <f>IF(A104="","",COUNTIF(Imagenes!A:A,A104))</f>
        <v/>
      </c>
    </row>
    <row r="105">
      <c r="N105" s="10">
        <f>IF(A105="","",SUMIF(Variantes!A:A,A105,Variantes!D:D))</f>
        <v/>
      </c>
      <c r="O105" s="10">
        <f>IF(A105="","",COUNTIF(Imagenes!A:A,A105))</f>
        <v/>
      </c>
    </row>
    <row r="106">
      <c r="N106" s="10">
        <f>IF(A106="","",SUMIF(Variantes!A:A,A106,Variantes!D:D))</f>
        <v/>
      </c>
      <c r="O106" s="10">
        <f>IF(A106="","",COUNTIF(Imagenes!A:A,A106))</f>
        <v/>
      </c>
    </row>
    <row r="107">
      <c r="N107" s="10">
        <f>IF(A107="","",SUMIF(Variantes!A:A,A107,Variantes!D:D))</f>
        <v/>
      </c>
      <c r="O107" s="10">
        <f>IF(A107="","",COUNTIF(Imagenes!A:A,A107))</f>
        <v/>
      </c>
    </row>
    <row r="108">
      <c r="N108" s="10">
        <f>IF(A108="","",SUMIF(Variantes!A:A,A108,Variantes!D:D))</f>
        <v/>
      </c>
      <c r="O108" s="10">
        <f>IF(A108="","",COUNTIF(Imagenes!A:A,A108))</f>
        <v/>
      </c>
    </row>
    <row r="109">
      <c r="N109" s="10">
        <f>IF(A109="","",SUMIF(Variantes!A:A,A109,Variantes!D:D))</f>
        <v/>
      </c>
      <c r="O109" s="10">
        <f>IF(A109="","",COUNTIF(Imagenes!A:A,A109))</f>
        <v/>
      </c>
    </row>
    <row r="110">
      <c r="N110" s="10">
        <f>IF(A110="","",SUMIF(Variantes!A:A,A110,Variantes!D:D))</f>
        <v/>
      </c>
      <c r="O110" s="10">
        <f>IF(A110="","",COUNTIF(Imagenes!A:A,A110))</f>
        <v/>
      </c>
    </row>
    <row r="111">
      <c r="N111" s="10">
        <f>IF(A111="","",SUMIF(Variantes!A:A,A111,Variantes!D:D))</f>
        <v/>
      </c>
      <c r="O111" s="10">
        <f>IF(A111="","",COUNTIF(Imagenes!A:A,A111))</f>
        <v/>
      </c>
    </row>
    <row r="112">
      <c r="N112" s="10">
        <f>IF(A112="","",SUMIF(Variantes!A:A,A112,Variantes!D:D))</f>
        <v/>
      </c>
      <c r="O112" s="10">
        <f>IF(A112="","",COUNTIF(Imagenes!A:A,A112))</f>
        <v/>
      </c>
    </row>
    <row r="113">
      <c r="N113" s="10">
        <f>IF(A113="","",SUMIF(Variantes!A:A,A113,Variantes!D:D))</f>
        <v/>
      </c>
      <c r="O113" s="10">
        <f>IF(A113="","",COUNTIF(Imagenes!A:A,A113))</f>
        <v/>
      </c>
    </row>
    <row r="114">
      <c r="N114" s="10">
        <f>IF(A114="","",SUMIF(Variantes!A:A,A114,Variantes!D:D))</f>
        <v/>
      </c>
      <c r="O114" s="10">
        <f>IF(A114="","",COUNTIF(Imagenes!A:A,A114))</f>
        <v/>
      </c>
    </row>
    <row r="115">
      <c r="N115" s="10">
        <f>IF(A115="","",SUMIF(Variantes!A:A,A115,Variantes!D:D))</f>
        <v/>
      </c>
      <c r="O115" s="10">
        <f>IF(A115="","",COUNTIF(Imagenes!A:A,A115))</f>
        <v/>
      </c>
    </row>
    <row r="116">
      <c r="N116" s="10">
        <f>IF(A116="","",SUMIF(Variantes!A:A,A116,Variantes!D:D))</f>
        <v/>
      </c>
      <c r="O116" s="10">
        <f>IF(A116="","",COUNTIF(Imagenes!A:A,A116))</f>
        <v/>
      </c>
    </row>
    <row r="117">
      <c r="N117" s="10">
        <f>IF(A117="","",SUMIF(Variantes!A:A,A117,Variantes!D:D))</f>
        <v/>
      </c>
      <c r="O117" s="10">
        <f>IF(A117="","",COUNTIF(Imagenes!A:A,A117))</f>
        <v/>
      </c>
    </row>
    <row r="118">
      <c r="N118" s="10">
        <f>IF(A118="","",SUMIF(Variantes!A:A,A118,Variantes!D:D))</f>
        <v/>
      </c>
      <c r="O118" s="10">
        <f>IF(A118="","",COUNTIF(Imagenes!A:A,A118))</f>
        <v/>
      </c>
    </row>
    <row r="119">
      <c r="N119" s="10">
        <f>IF(A119="","",SUMIF(Variantes!A:A,A119,Variantes!D:D))</f>
        <v/>
      </c>
      <c r="O119" s="10">
        <f>IF(A119="","",COUNTIF(Imagenes!A:A,A119))</f>
        <v/>
      </c>
    </row>
    <row r="120">
      <c r="N120" s="10">
        <f>IF(A120="","",SUMIF(Variantes!A:A,A120,Variantes!D:D))</f>
        <v/>
      </c>
      <c r="O120" s="10">
        <f>IF(A120="","",COUNTIF(Imagenes!A:A,A120))</f>
        <v/>
      </c>
    </row>
    <row r="121">
      <c r="N121" s="10">
        <f>IF(A121="","",SUMIF(Variantes!A:A,A121,Variantes!D:D))</f>
        <v/>
      </c>
      <c r="O121" s="10">
        <f>IF(A121="","",COUNTIF(Imagenes!A:A,A121))</f>
        <v/>
      </c>
    </row>
    <row r="122">
      <c r="N122" s="10">
        <f>IF(A122="","",SUMIF(Variantes!A:A,A122,Variantes!D:D))</f>
        <v/>
      </c>
      <c r="O122" s="10">
        <f>IF(A122="","",COUNTIF(Imagenes!A:A,A122))</f>
        <v/>
      </c>
    </row>
    <row r="123">
      <c r="N123" s="10">
        <f>IF(A123="","",SUMIF(Variantes!A:A,A123,Variantes!D:D))</f>
        <v/>
      </c>
      <c r="O123" s="10">
        <f>IF(A123="","",COUNTIF(Imagenes!A:A,A123))</f>
        <v/>
      </c>
    </row>
    <row r="124">
      <c r="N124" s="10">
        <f>IF(A124="","",SUMIF(Variantes!A:A,A124,Variantes!D:D))</f>
        <v/>
      </c>
      <c r="O124" s="10">
        <f>IF(A124="","",COUNTIF(Imagenes!A:A,A124))</f>
        <v/>
      </c>
    </row>
    <row r="125">
      <c r="N125" s="10">
        <f>IF(A125="","",SUMIF(Variantes!A:A,A125,Variantes!D:D))</f>
        <v/>
      </c>
      <c r="O125" s="10">
        <f>IF(A125="","",COUNTIF(Imagenes!A:A,A125))</f>
        <v/>
      </c>
    </row>
    <row r="126">
      <c r="N126" s="10">
        <f>IF(A126="","",SUMIF(Variantes!A:A,A126,Variantes!D:D))</f>
        <v/>
      </c>
      <c r="O126" s="10">
        <f>IF(A126="","",COUNTIF(Imagenes!A:A,A126))</f>
        <v/>
      </c>
    </row>
    <row r="127">
      <c r="N127" s="10">
        <f>IF(A127="","",SUMIF(Variantes!A:A,A127,Variantes!D:D))</f>
        <v/>
      </c>
      <c r="O127" s="10">
        <f>IF(A127="","",COUNTIF(Imagenes!A:A,A127))</f>
        <v/>
      </c>
    </row>
    <row r="128">
      <c r="N128" s="10">
        <f>IF(A128="","",SUMIF(Variantes!A:A,A128,Variantes!D:D))</f>
        <v/>
      </c>
      <c r="O128" s="10">
        <f>IF(A128="","",COUNTIF(Imagenes!A:A,A128))</f>
        <v/>
      </c>
    </row>
    <row r="129">
      <c r="N129" s="10">
        <f>IF(A129="","",SUMIF(Variantes!A:A,A129,Variantes!D:D))</f>
        <v/>
      </c>
      <c r="O129" s="10">
        <f>IF(A129="","",COUNTIF(Imagenes!A:A,A129))</f>
        <v/>
      </c>
    </row>
    <row r="130">
      <c r="N130" s="10">
        <f>IF(A130="","",SUMIF(Variantes!A:A,A130,Variantes!D:D))</f>
        <v/>
      </c>
      <c r="O130" s="10">
        <f>IF(A130="","",COUNTIF(Imagenes!A:A,A130))</f>
        <v/>
      </c>
    </row>
    <row r="131">
      <c r="N131" s="10">
        <f>IF(A131="","",SUMIF(Variantes!A:A,A131,Variantes!D:D))</f>
        <v/>
      </c>
      <c r="O131" s="10">
        <f>IF(A131="","",COUNTIF(Imagenes!A:A,A131))</f>
        <v/>
      </c>
    </row>
    <row r="132">
      <c r="N132" s="10">
        <f>IF(A132="","",SUMIF(Variantes!A:A,A132,Variantes!D:D))</f>
        <v/>
      </c>
      <c r="O132" s="10">
        <f>IF(A132="","",COUNTIF(Imagenes!A:A,A132))</f>
        <v/>
      </c>
    </row>
    <row r="133">
      <c r="N133" s="10">
        <f>IF(A133="","",SUMIF(Variantes!A:A,A133,Variantes!D:D))</f>
        <v/>
      </c>
      <c r="O133" s="10">
        <f>IF(A133="","",COUNTIF(Imagenes!A:A,A133))</f>
        <v/>
      </c>
    </row>
    <row r="134">
      <c r="N134" s="10">
        <f>IF(A134="","",SUMIF(Variantes!A:A,A134,Variantes!D:D))</f>
        <v/>
      </c>
      <c r="O134" s="10">
        <f>IF(A134="","",COUNTIF(Imagenes!A:A,A134))</f>
        <v/>
      </c>
    </row>
    <row r="135">
      <c r="N135" s="10">
        <f>IF(A135="","",SUMIF(Variantes!A:A,A135,Variantes!D:D))</f>
        <v/>
      </c>
      <c r="O135" s="10">
        <f>IF(A135="","",COUNTIF(Imagenes!A:A,A135))</f>
        <v/>
      </c>
    </row>
    <row r="136">
      <c r="N136" s="10">
        <f>IF(A136="","",SUMIF(Variantes!A:A,A136,Variantes!D:D))</f>
        <v/>
      </c>
      <c r="O136" s="10">
        <f>IF(A136="","",COUNTIF(Imagenes!A:A,A136))</f>
        <v/>
      </c>
    </row>
    <row r="137">
      <c r="N137" s="10">
        <f>IF(A137="","",SUMIF(Variantes!A:A,A137,Variantes!D:D))</f>
        <v/>
      </c>
      <c r="O137" s="10">
        <f>IF(A137="","",COUNTIF(Imagenes!A:A,A137))</f>
        <v/>
      </c>
    </row>
    <row r="138">
      <c r="N138" s="10">
        <f>IF(A138="","",SUMIF(Variantes!A:A,A138,Variantes!D:D))</f>
        <v/>
      </c>
      <c r="O138" s="10">
        <f>IF(A138="","",COUNTIF(Imagenes!A:A,A138))</f>
        <v/>
      </c>
    </row>
    <row r="139">
      <c r="N139" s="10">
        <f>IF(A139="","",SUMIF(Variantes!A:A,A139,Variantes!D:D))</f>
        <v/>
      </c>
      <c r="O139" s="10">
        <f>IF(A139="","",COUNTIF(Imagenes!A:A,A139))</f>
        <v/>
      </c>
    </row>
    <row r="140">
      <c r="N140" s="10">
        <f>IF(A140="","",SUMIF(Variantes!A:A,A140,Variantes!D:D))</f>
        <v/>
      </c>
      <c r="O140" s="10">
        <f>IF(A140="","",COUNTIF(Imagenes!A:A,A140))</f>
        <v/>
      </c>
    </row>
    <row r="141">
      <c r="N141" s="10">
        <f>IF(A141="","",SUMIF(Variantes!A:A,A141,Variantes!D:D))</f>
        <v/>
      </c>
      <c r="O141" s="10">
        <f>IF(A141="","",COUNTIF(Imagenes!A:A,A141))</f>
        <v/>
      </c>
    </row>
    <row r="142">
      <c r="N142" s="10">
        <f>IF(A142="","",SUMIF(Variantes!A:A,A142,Variantes!D:D))</f>
        <v/>
      </c>
      <c r="O142" s="10">
        <f>IF(A142="","",COUNTIF(Imagenes!A:A,A142))</f>
        <v/>
      </c>
    </row>
    <row r="143">
      <c r="N143" s="10">
        <f>IF(A143="","",SUMIF(Variantes!A:A,A143,Variantes!D:D))</f>
        <v/>
      </c>
      <c r="O143" s="10">
        <f>IF(A143="","",COUNTIF(Imagenes!A:A,A143))</f>
        <v/>
      </c>
    </row>
    <row r="144">
      <c r="N144" s="10">
        <f>IF(A144="","",SUMIF(Variantes!A:A,A144,Variantes!D:D))</f>
        <v/>
      </c>
      <c r="O144" s="10">
        <f>IF(A144="","",COUNTIF(Imagenes!A:A,A144))</f>
        <v/>
      </c>
    </row>
    <row r="145">
      <c r="N145" s="10">
        <f>IF(A145="","",SUMIF(Variantes!A:A,A145,Variantes!D:D))</f>
        <v/>
      </c>
      <c r="O145" s="10">
        <f>IF(A145="","",COUNTIF(Imagenes!A:A,A145))</f>
        <v/>
      </c>
    </row>
    <row r="146">
      <c r="N146" s="10">
        <f>IF(A146="","",SUMIF(Variantes!A:A,A146,Variantes!D:D))</f>
        <v/>
      </c>
      <c r="O146" s="10">
        <f>IF(A146="","",COUNTIF(Imagenes!A:A,A146))</f>
        <v/>
      </c>
    </row>
    <row r="147">
      <c r="N147" s="10">
        <f>IF(A147="","",SUMIF(Variantes!A:A,A147,Variantes!D:D))</f>
        <v/>
      </c>
      <c r="O147" s="10">
        <f>IF(A147="","",COUNTIF(Imagenes!A:A,A147))</f>
        <v/>
      </c>
    </row>
    <row r="148">
      <c r="N148" s="10">
        <f>IF(A148="","",SUMIF(Variantes!A:A,A148,Variantes!D:D))</f>
        <v/>
      </c>
      <c r="O148" s="10">
        <f>IF(A148="","",COUNTIF(Imagenes!A:A,A148))</f>
        <v/>
      </c>
    </row>
    <row r="149">
      <c r="N149" s="10">
        <f>IF(A149="","",SUMIF(Variantes!A:A,A149,Variantes!D:D))</f>
        <v/>
      </c>
      <c r="O149" s="10">
        <f>IF(A149="","",COUNTIF(Imagenes!A:A,A149))</f>
        <v/>
      </c>
    </row>
    <row r="150">
      <c r="N150" s="10">
        <f>IF(A150="","",SUMIF(Variantes!A:A,A150,Variantes!D:D))</f>
        <v/>
      </c>
      <c r="O150" s="10">
        <f>IF(A150="","",COUNTIF(Imagenes!A:A,A150))</f>
        <v/>
      </c>
    </row>
    <row r="151">
      <c r="N151" s="10">
        <f>IF(A151="","",SUMIF(Variantes!A:A,A151,Variantes!D:D))</f>
        <v/>
      </c>
      <c r="O151" s="10">
        <f>IF(A151="","",COUNTIF(Imagenes!A:A,A151))</f>
        <v/>
      </c>
    </row>
  </sheetData>
  <dataValidations count="6">
    <dataValidation sqref="C2:C500" showDropDown="0" showInputMessage="0" showErrorMessage="0" allowBlank="1" errorTitle="Valor no válido" error="Elige un valor de la lista." type="list">
      <formula1>=Listas!$A$2:$A$20</formula1>
    </dataValidation>
    <dataValidation sqref="D2:D500" showDropDown="0" showInputMessage="0" showErrorMessage="0" allowBlank="1" errorTitle="Valor no válido" error="Elige un valor de la lista." type="list">
      <formula1>=Listas!$C$2:$C$60</formula1>
    </dataValidation>
    <dataValidation sqref="E2:E500" showDropDown="0" showInputMessage="0" showErrorMessage="0" allowBlank="1" errorTitle="Valor no válido" error="Elige un valor de la lista." type="list">
      <formula1>=Marcas!$A$2:$A$50</formula1>
    </dataValidation>
    <dataValidation sqref="I2:I500" showDropDown="0" showInputMessage="0" showErrorMessage="0" allowBlank="1" errorTitle="Valor no válido" error="Elige un valor de la lista." type="list">
      <formula1>"SI,NO"</formula1>
    </dataValidation>
    <dataValidation sqref="J2:J500" showDropDown="0" showInputMessage="0" showErrorMessage="0" allowBlank="1" errorTitle="Valor no válido" error="Elige un valor de la lista." type="list">
      <formula1>"SI,NO"</formula1>
    </dataValidation>
    <dataValidation sqref="K2:K500" showDropDown="0" showInputMessage="0" showErrorMessage="0" allowBlank="1" errorTitle="Valor no válido" error="Elige un valor de la lista.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0" customWidth="1" min="4" max="4"/>
  </cols>
  <sheetData>
    <row r="1" ht="24" customHeight="1">
      <c r="A1" s="6" t="inlineStr">
        <is>
          <t>producto_id</t>
        </is>
      </c>
      <c r="B1" s="6" t="inlineStr">
        <is>
          <t>sku</t>
        </is>
      </c>
      <c r="C1" s="6" t="inlineStr">
        <is>
          <t>color</t>
        </is>
      </c>
      <c r="D1" s="6" t="inlineStr">
        <is>
          <t>stock</t>
        </is>
      </c>
    </row>
    <row r="2">
      <c r="A2" s="7" t="inlineStr">
        <is>
          <t>e2</t>
        </is>
      </c>
      <c r="B2" s="7" t="inlineStr">
        <is>
          <t>e2</t>
        </is>
      </c>
      <c r="D2" s="7" t="n">
        <v>10</v>
      </c>
    </row>
  </sheetData>
  <dataValidations count="1">
    <dataValidation sqref="A2:A500" showDropDown="0" showInputMessage="0" showErrorMessage="0" allowBlank="1" errorTitle="Valor no válido" error="Elige un valor de la lista." type="list">
      <formula1>=Productos!$A$2:$A$500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70" customWidth="1" min="3" max="3"/>
    <col width="22" customWidth="1" min="4" max="4"/>
  </cols>
  <sheetData>
    <row r="1" ht="24" customHeight="1">
      <c r="A1" s="6" t="inlineStr">
        <is>
          <t>producto_id</t>
        </is>
      </c>
      <c r="B1" s="6" t="inlineStr">
        <is>
          <t>orden</t>
        </is>
      </c>
      <c r="C1" s="6" t="inlineStr">
        <is>
          <t>url</t>
        </is>
      </c>
      <c r="D1" s="6" t="inlineStr">
        <is>
          <t>archivo</t>
        </is>
      </c>
    </row>
    <row r="2">
      <c r="A2" s="7" t="inlineStr">
        <is>
          <t>e2</t>
        </is>
      </c>
      <c r="B2" s="7" t="n">
        <v>1</v>
      </c>
      <c r="C2" s="8" t="inlineStr">
        <is>
          <t>https://res.cloudinary.com/.../e2-1.jpg</t>
        </is>
      </c>
      <c r="D2" s="7" t="inlineStr">
        <is>
          <t>e2-1.jpg</t>
        </is>
      </c>
    </row>
  </sheetData>
  <dataValidations count="1">
    <dataValidation sqref="A2:A500" showDropDown="0" showInputMessage="0" showErrorMessage="0" allowBlank="1" errorTitle="Valor no válido" error="Elige un valor de la lista." type="list">
      <formula1>=Productos!$A$2:$A$500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4" customHeight="1">
      <c r="A1" s="6" t="inlineStr">
        <is>
          <t>marca</t>
        </is>
      </c>
      <c r="B1" s="6" t="inlineStr">
        <is>
          <t>logo_url</t>
        </is>
      </c>
    </row>
    <row r="2">
      <c r="A2" s="11" t="inlineStr">
        <is>
          <t>Cartago</t>
        </is>
      </c>
    </row>
    <row r="3">
      <c r="A3" s="11" t="inlineStr">
        <is>
          <t>San Fermín</t>
        </is>
      </c>
    </row>
    <row r="4">
      <c r="A4" s="11" t="inlineStr">
        <is>
          <t>Mesacé</t>
        </is>
      </c>
    </row>
    <row r="5">
      <c r="A5" s="11" t="inlineStr">
        <is>
          <t>Al Torno</t>
        </is>
      </c>
    </row>
    <row r="6">
      <c r="A6" s="11" t="inlineStr">
        <is>
          <t>Sybec</t>
        </is>
      </c>
    </row>
    <row r="7">
      <c r="A7" s="11" t="inlineStr">
        <is>
          <t>Natural V.</t>
        </is>
      </c>
    </row>
    <row r="8">
      <c r="A8" s="11" t="inlineStr">
        <is>
          <t>Cheval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</cols>
  <sheetData>
    <row r="1" ht="24" customHeight="1">
      <c r="A1" s="6" t="inlineStr">
        <is>
          <t>clave</t>
        </is>
      </c>
      <c r="B1" s="6" t="inlineStr">
        <is>
          <t>valor</t>
        </is>
      </c>
      <c r="C1" s="6" t="inlineStr">
        <is>
          <t>descripcion</t>
        </is>
      </c>
    </row>
    <row r="2">
      <c r="A2" s="11" t="inlineStr">
        <is>
          <t>tasa_usd</t>
        </is>
      </c>
      <c r="B2" s="12" t="n">
        <v>3000</v>
      </c>
      <c r="C2" s="11" t="inlineStr">
        <is>
          <t>Pesos por dólar para mostrar precios en USD. Se actualiza cada 8 días.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" customWidth="1" min="2" max="2"/>
    <col width="20" customWidth="1" min="3" max="3"/>
    <col width="24" customWidth="1" min="4" max="4"/>
  </cols>
  <sheetData>
    <row r="1" ht="24" customHeight="1">
      <c r="A1" s="6" t="inlineStr">
        <is>
          <t>categorias</t>
        </is>
      </c>
      <c r="B1" s="6" t="inlineStr"/>
      <c r="C1" s="6" t="inlineStr">
        <is>
          <t>subcategorias</t>
        </is>
      </c>
      <c r="D1" s="6" t="inlineStr">
        <is>
          <t>de la categoría</t>
        </is>
      </c>
    </row>
    <row r="2">
      <c r="A2" s="11" t="inlineStr">
        <is>
          <t>Monturas</t>
        </is>
      </c>
      <c r="C2" s="11" t="inlineStr">
        <is>
          <t>Sillas</t>
        </is>
      </c>
      <c r="D2" s="10" t="inlineStr">
        <is>
          <t>Monturas</t>
        </is>
      </c>
    </row>
    <row r="3">
      <c r="A3" s="11" t="inlineStr">
        <is>
          <t>Equino</t>
        </is>
      </c>
      <c r="C3" s="11" t="inlineStr">
        <is>
          <t>Tereques</t>
        </is>
      </c>
      <c r="D3" s="10" t="inlineStr">
        <is>
          <t>Monturas</t>
        </is>
      </c>
    </row>
    <row r="4">
      <c r="A4" s="11" t="inlineStr">
        <is>
          <t>Jinete</t>
        </is>
      </c>
      <c r="C4" s="11" t="inlineStr">
        <is>
          <t>Galápagos</t>
        </is>
      </c>
      <c r="D4" s="10" t="inlineStr">
        <is>
          <t>Monturas</t>
        </is>
      </c>
    </row>
    <row r="5">
      <c r="A5" s="11" t="inlineStr">
        <is>
          <t>Cuidado del caballo</t>
        </is>
      </c>
      <c r="C5" s="11" t="inlineStr">
        <is>
          <t>Kids</t>
        </is>
      </c>
      <c r="D5" s="10" t="inlineStr">
        <is>
          <t>Monturas</t>
        </is>
      </c>
    </row>
    <row r="6">
      <c r="A6" s="11" t="inlineStr">
        <is>
          <t>Caninos</t>
        </is>
      </c>
      <c r="C6" s="11" t="inlineStr">
        <is>
          <t>Cabeza</t>
        </is>
      </c>
      <c r="D6" s="10" t="inlineStr">
        <is>
          <t>Equino</t>
        </is>
      </c>
    </row>
    <row r="7">
      <c r="C7" s="11" t="inlineStr">
        <is>
          <t>Alfombras</t>
        </is>
      </c>
      <c r="D7" s="10" t="inlineStr">
        <is>
          <t>Equino</t>
        </is>
      </c>
    </row>
    <row r="8">
      <c r="C8" s="11" t="inlineStr">
        <is>
          <t>Alforjas</t>
        </is>
      </c>
      <c r="D8" s="10" t="inlineStr">
        <is>
          <t>Equino</t>
        </is>
      </c>
    </row>
    <row r="9">
      <c r="C9" s="11" t="inlineStr">
        <is>
          <t>Correaje</t>
        </is>
      </c>
      <c r="D9" s="10" t="inlineStr">
        <is>
          <t>Equino</t>
        </is>
      </c>
    </row>
    <row r="10">
      <c r="C10" s="11" t="inlineStr">
        <is>
          <t>Tarabas</t>
        </is>
      </c>
      <c r="D10" s="10" t="inlineStr">
        <is>
          <t>Equino</t>
        </is>
      </c>
    </row>
    <row r="11">
      <c r="C11" s="11" t="inlineStr">
        <is>
          <t>Sombreros</t>
        </is>
      </c>
      <c r="D11" s="10" t="inlineStr">
        <is>
          <t>Jinete</t>
        </is>
      </c>
    </row>
    <row r="12">
      <c r="C12" s="11" t="inlineStr">
        <is>
          <t>Marroquinería</t>
        </is>
      </c>
      <c r="D12" s="10" t="inlineStr">
        <is>
          <t>Jinete</t>
        </is>
      </c>
    </row>
    <row r="13">
      <c r="C13" s="11" t="inlineStr">
        <is>
          <t>Bisutería</t>
        </is>
      </c>
      <c r="D13" s="10" t="inlineStr">
        <is>
          <t>Jinete</t>
        </is>
      </c>
    </row>
    <row r="14">
      <c r="C14" s="11" t="inlineStr">
        <is>
          <t>Aseo</t>
        </is>
      </c>
      <c r="D14" s="10" t="inlineStr">
        <is>
          <t>Cuidado del caballo</t>
        </is>
      </c>
    </row>
    <row r="15">
      <c r="C15" s="11" t="inlineStr">
        <is>
          <t>Suplementos</t>
        </is>
      </c>
      <c r="D15" s="10" t="inlineStr">
        <is>
          <t>Cuidado del caballo</t>
        </is>
      </c>
    </row>
    <row r="16">
      <c r="C16" s="11" t="inlineStr">
        <is>
          <t>Accesorios</t>
        </is>
      </c>
      <c r="D16" s="10" t="inlineStr">
        <is>
          <t>Cuidado del caballo</t>
        </is>
      </c>
    </row>
    <row r="17">
      <c r="C17" s="11" t="inlineStr">
        <is>
          <t>Pecheras</t>
        </is>
      </c>
      <c r="D17" s="10" t="inlineStr">
        <is>
          <t>Caninos</t>
        </is>
      </c>
    </row>
    <row r="18">
      <c r="C18" s="11" t="inlineStr">
        <is>
          <t>Collares</t>
        </is>
      </c>
      <c r="D18" s="10" t="inlineStr">
        <is>
          <t>Caninos</t>
        </is>
      </c>
    </row>
    <row r="19">
      <c r="C19" s="11" t="inlineStr">
        <is>
          <t>Traíllas</t>
        </is>
      </c>
      <c r="D19" s="10" t="inlineStr">
        <is>
          <t>Caninos</t>
        </is>
      </c>
    </row>
    <row r="20">
      <c r="C20" s="11" t="inlineStr">
        <is>
          <t>Bozales</t>
        </is>
      </c>
      <c r="D20" s="10" t="inlineStr">
        <is>
          <t>Caninos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2026-10-22T23:49:32Z</dcterms:created>
  <dcterms:modified xmlns:dcterms="http://purl.org/dc/terms/" xmlns:xsi="http://www.w3.org/2001/XMLSchema-instance" xsi:type="dcterms:W3CDTF">2026-10-22T23:49:32Z</dcterms:modified>
</cp:coreProperties>
</file>